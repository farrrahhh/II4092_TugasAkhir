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mbar Penilaian" sheetId="1" state="visible" r:id="rId3"/>
    <sheet name="Rubrik Penilaian" sheetId="2" state="visible" r:id="rId4"/>
    <sheet name="Soal Referensi"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<sst xmlns="http://schemas.openxmlformats.org/spreadsheetml/2006/main" count="155" uniqueCount="111">
  <si>
    <t xml:space="preserve">Lembar Penilaian Kualitas Konten LLM — Teman Belajar ASD</t>
  </si>
  <si>
    <t xml:space="preserve">Evaluasi 3: Kebenaran Konseptual, Kesesuaian Kurikulum, dan Kejelasan jawaban LLM. Indikator lulus: rata-rata kesesuaian keseluruhan ≥ 70%.</t>
  </si>
  <si>
    <t xml:space="preserve">Tanggal evaluasi:</t>
  </si>
  <si>
    <t xml:space="preserve">2026-07-05</t>
  </si>
  <si>
    <t xml:space="preserve">Evaluator:</t>
  </si>
  <si>
    <t xml:space="preserve">Farah</t>
  </si>
  <si>
    <t xml:space="preserve">No</t>
  </si>
  <si>
    <t xml:space="preserve">Kode Soal</t>
  </si>
  <si>
    <t xml:space="preserve">Topik</t>
  </si>
  <si>
    <t xml:space="preserve">K1 - Kebenaran
Konseptual (1-3)</t>
  </si>
  <si>
    <t xml:space="preserve">K2 - Kesesuaian
Kurikulum (1-3)</t>
  </si>
  <si>
    <t xml:space="preserve">K3 - Kejelasan &amp;
Tidak Menyesatkan (1-3)</t>
  </si>
  <si>
    <t xml:space="preserve">Skor (%)</t>
  </si>
  <si>
    <t xml:space="preserve">Catatan</t>
  </si>
  <si>
    <t xml:space="preserve">LL-01</t>
  </si>
  <si>
    <t xml:space="preserve">Linked List</t>
  </si>
  <si>
    <t xml:space="preserve">Skor AI thd jawaban: 90/100 (Sangat Baik). Feedback mencakup semua poin kunci (struktur node, arah traversal, trade-off memori vs kemudahan hapus); tidak ada bagian perlu diperbaiki.</t>
  </si>
  <si>
    <t xml:space="preserve">LL-02</t>
  </si>
  <si>
    <t xml:space="preserve">Skor AI thd jawaban: 90/100 (Sangat Baik). Pseudocode dinilai benar dan lengkap sesuai referensi; feedback singkat dan tidak ambigu.</t>
  </si>
  <si>
    <t xml:space="preserve">LL-03</t>
  </si>
  <si>
    <t xml:space="preserve">Skor AI thd jawaban: 90/100 (Sangat Baik). Penjelasan O(n) vs O(1) dan alasan kontigu vs tidak kontigu memori dinilai tepat, sesuai jawaban referensi.</t>
  </si>
  <si>
    <t xml:space="preserve">LL-04</t>
  </si>
  <si>
    <t xml:space="preserve">Skor AI thd jawaban: 80/100 (Baik). AI meminta detail langkah-langkah algoritma dan contoh implementasi yang sebenarnya tidak ada di jawaban referensi (referensi hanya sebatas konsep dua pointer + kompleksitas, level sama dengan jawaban mahasiswa). Tidak ada kesalahan konsep, tapi ekspektasi kedalaman AI lebih tinggi dari standar referensi, perlu dicek konsistensi rubrik AI. Dibahas di Bab VI sebagai limitasi.</t>
  </si>
  <si>
    <t xml:space="preserve">LL-05</t>
  </si>
  <si>
    <t xml:space="preserve">Skor AI thd jawaban: 90/100 (Sangat Baik). Feedback mencakup poin kelebihan (ukuran data dinamis, insert/delete O(1) di head) dan kekurangan (akses acak, cache) sesuai referensi.</t>
  </si>
  <si>
    <t xml:space="preserve">TR-01</t>
  </si>
  <si>
    <t xml:space="preserve">Tree</t>
  </si>
  <si>
    <t xml:space="preserve">Skor AI thd jawaban: 80/100 (Baik). Kritik AI: BST juga harus tidak boleh punya nilai duplikat -- ini poin valid &amp; di luar jawaban referensi (bonus), tapi kalimat pembuka feedback bilang 'kurang lengkap dlm beberapa aspek tambahan' (plural) padahal cuma 1 poin yg disebutkan -&gt; sedikit tidak presisi/agak berlebihan.</t>
  </si>
  <si>
    <t xml:space="preserve">TR-02</t>
  </si>
  <si>
    <t xml:space="preserve">Skor AI thd jawaban: 90/100 (Sangat Baik). Pseudocode in-order traversal dan penjelasan urutan kunjungan (kiri-root-kanan, hasil terurut pada BST) dinilai benar &amp; lengkap sesuai referensi.</t>
  </si>
  <si>
    <t xml:space="preserve">TR-03</t>
  </si>
  <si>
    <t xml:space="preserve">Skor AI thd jawaban: 80/100 (Baik). AI minta contoh lebih detail soal pengaruh ke operasi pencarian/penyisipan/penghapusan -- padahal jawaban mahasiswa (sama dgn referensi) sudah menyebut 'semua operasi menjadi O(n)' yg sudah mencakup ketiganya scr umum. Kritik agak redundan/lebih strict dari standar referensi.</t>
  </si>
  <si>
    <t xml:space="preserve">TR-04</t>
  </si>
  <si>
    <t xml:space="preserve">Skor AI thd jawaban: 80/100 (Baik). AI minta penjelasan lebih lanjut soal penerapan heap property &amp; contoh struktur heap yang tidak ada di jawaban referensi (referensi hanya sebatas definisi + kegunaan, level sama dgn jawaban mahasiswa). Pola sama dgn TR-03/LL-04: AI lebih strict dari standar referensi.</t>
  </si>
  <si>
    <t xml:space="preserve">TR-05</t>
  </si>
  <si>
    <t xml:space="preserve">Skor AI thd jawaban: 90/100 (Sangat Baik). Kompleksitas rata-rata O(log n) dan terburuk O(n) beserta solusi self-balancing BST (AVL/Red-Black) dinilai tepat dan lengkap; tidak ada bagian perlu diperbaiki.</t>
  </si>
  <si>
    <t xml:space="preserve">GR-01</t>
  </si>
  <si>
    <t xml:space="preserve">Graph</t>
  </si>
  <si>
    <t xml:space="preserve">Skor AI thd jawaban: 90/100 (Sangat Baik). Feedback mencakup semua poin kunci (kompleksitas cek edge &amp; ruang utk matrix vs list, kapan masing2 efisien); tidak ada bagian perlu diperbaiki.</t>
  </si>
  <si>
    <t xml:space="preserve">GR-02</t>
  </si>
  <si>
    <t xml:space="preserve">Skor AI thd jawaban: 90/100 (Sangat Baik). Pseudocode BFS dinilai benar &amp; sesuai konsep, penjelasan kompleksitas O(V+E) tepat; tidak ada bagian perlu diperbaiki.</t>
  </si>
  <si>
    <t xml:space="preserve">GR-03</t>
  </si>
  <si>
    <t xml:space="preserve">Skor AI thd jawaban: 90/100 (Sangat Baik). Definisi DAG dan contoh aplikasi (dependency resolution, topological sort, alur kerja, evaluasi ekspresi kompiler) dinilai lengkap; tidak ada bagian perlu diperbaiki.</t>
  </si>
  <si>
    <t xml:space="preserve">GR-04</t>
  </si>
  <si>
    <t xml:space="preserve">Skor AI thd jawaban: 90/100 (Sangat Baik). Penjelasan greedy approach, priority queue, dan syarat bobot edge non-negatif dinilai lengkap; tidak ada bagian perlu diperbaiki.</t>
  </si>
  <si>
    <t xml:space="preserve">GR-05</t>
  </si>
  <si>
    <t xml:space="preserve">Skor AI thd jawaban: 90/100 (Sangat Baik). Perbedaan DFS (stack, deteksi cycle/topological sort) vs BFS (queue, shortest path/level-order) dan efisiensi memori dinilai lengkap; tidak ada bagian perlu diperbaiki.</t>
  </si>
  <si>
    <t xml:space="preserve">Rata-rata</t>
  </si>
  <si>
    <t xml:space="preserve">Ringkasan Hasil</t>
  </si>
  <si>
    <t xml:space="preserve">Rata-rata K1 (Kebenaran Konseptual)</t>
  </si>
  <si>
    <t xml:space="preserve">Rata-rata K2 (Kesesuaian Kurikulum)</t>
  </si>
  <si>
    <t xml:space="preserve">Rata-rata K3 (Kejelasan &amp; Tidak Menyesatkan)</t>
  </si>
  <si>
    <t xml:space="preserve">Rata-rata Keseluruhan</t>
  </si>
  <si>
    <t xml:space="preserve">Kesimpulan (indikator lulus ≥ 70%)</t>
  </si>
  <si>
    <t xml:space="preserve">Rubrik Penilaian Kualitas Konten LLM</t>
  </si>
  <si>
    <t xml:space="preserve">Kriteria</t>
  </si>
  <si>
    <t xml:space="preserve">Bobot</t>
  </si>
  <si>
    <t xml:space="preserve">Skor 1</t>
  </si>
  <si>
    <t xml:space="preserve">Skor 2</t>
  </si>
  <si>
    <t xml:space="preserve">Skor 3</t>
  </si>
  <si>
    <t xml:space="preserve">K1 — Kebenaran Konseptual</t>
  </si>
  <si>
    <t xml:space="preserve">40%</t>
  </si>
  <si>
    <t xml:space="preserve">Salah secara konseptual</t>
  </si>
  <si>
    <t xml:space="preserve">Sebagian benar</t>
  </si>
  <si>
    <t xml:space="preserve">Benar sesuai prinsip ASD</t>
  </si>
  <si>
    <t xml:space="preserve">K2 — Kesesuaian Kurikulum</t>
  </si>
  <si>
    <t xml:space="preserve">30%</t>
  </si>
  <si>
    <t xml:space="preserve">Di luar cakupan kurikulum</t>
  </si>
  <si>
    <t xml:space="preserve">Sebagian sesuai</t>
  </si>
  <si>
    <t xml:space="preserve">Sesuai terminologi &amp; notasi IF2111</t>
  </si>
  <si>
    <t xml:space="preserve">K3 — Kejelasan &amp; Tidak Menyesatkan</t>
  </si>
  <si>
    <t xml:space="preserve">Ambigu / menyesatkan</t>
  </si>
  <si>
    <t xml:space="preserve">Cukup jelas</t>
  </si>
  <si>
    <t xml:space="preserve">Jelas dan tidak menimbulkan miskonsepsi</t>
  </si>
  <si>
    <t xml:space="preserve">Cara hitung skor per soal:</t>
  </si>
  <si>
    <t xml:space="preserve">Skor (%) = (K1/3 × 0.4 + K2/3 × 0.3 + K3/3 × 0.3) × 100%</t>
  </si>
  <si>
    <t xml:space="preserve">Indikator kelulusan: rata-rata kesesuaian keseluruhan ≥ 70%.</t>
  </si>
  <si>
    <t xml:space="preserve">15 Soal Referensi — Evaluasi Kualitas Konten LLM</t>
  </si>
  <si>
    <t xml:space="preserve">Kode</t>
  </si>
  <si>
    <t xml:space="preserve">Soal</t>
  </si>
  <si>
    <t xml:space="preserve">Jawaban Referensi</t>
  </si>
  <si>
    <t xml:space="preserve">Jelaskan perbedaan antara singly linked list dan doubly linked list dari segi struktur node dan kemampuan traversal.</t>
  </si>
  <si>
    <t xml:space="preserve">Singly linked list memiliki satu pointer next per node sehingga traversal hanya satu arah (head ke tail). Doubly linked list memiliki pointer prev dan next sehingga traversal dua arah. Kelebihan doubly: penghapusan node lebih mudah tanpa menelusuri dari awal, namun memori per node lebih besar.</t>
  </si>
  <si>
    <t xml:space="preserve">Tulis pseudocode untuk operasi insertAtHead pada singly linked list.</t>
  </si>
  <si>
    <t xml:space="preserve">FUNCTION insertAtHead(head, data): newNode = Node(data); newNode.next = head; head = newNode; RETURN head</t>
  </si>
  <si>
    <t xml:space="preserve">Apa kompleksitas waktu operasi akses elemen ke-n pada linked list dibandingkan array? Jelaskan mengapa demikian.</t>
  </si>
  <si>
    <t xml:space="preserve">Akses ke-n pada linked list O(n) karena traversal dari head. Pada array O(1) karena pengalamatan langsung berdasarkan indeks. Perbedaan karena linked list tidak kontigu di memori.</t>
  </si>
  <si>
    <t xml:space="preserve">Bagaimana cara mendeteksi cycle (loop) dalam sebuah linked list? Jelaskan algoritma Floyd's Cycle Detection.</t>
  </si>
  <si>
    <t xml:space="preserve">Algoritma Floyd menggunakan pointer slow (1 langkah) dan fast (2 langkah). Jika ada cycle, keduanya akan bertemu; jika fast mencapai NULL, tidak ada cycle. Kompleksitas waktu O(n), ruang O(1).</t>
  </si>
  <si>
    <t xml:space="preserve">Jelaskan kapan sebaiknya menggunakan linked list dibandingkan array dalam implementasi program.</t>
  </si>
  <si>
    <t xml:space="preserve">Linked list lebih baik jika: ukuran data tidak diketahui dan sering berubah, insert/delete di awal/tengah sering dilakukan (O(1) di head), memori tidak harus kontigu. Array lebih baik untuk akses acak cepat dan cache performance.</t>
  </si>
  <si>
    <t xml:space="preserve">Apa yang dimaksud dengan Binary Search Tree (BST)? Sebutkan properti utama yang harus dipenuhi sebuah BST.</t>
  </si>
  <si>
    <t xml:space="preserve">BST: setiap node memenuhi properti nilai subtree kiri &lt; node saat ini &lt; subtree kanan. Memungkinkan pencarian, insert, delete rata-rata O(log n) pada pohon seimbang.</t>
  </si>
  <si>
    <t xml:space="preserve">Tuliskan algoritma in-order traversal pada binary tree secara rekursif dan jelaskan urutan kunjungan nodenya.</t>
  </si>
  <si>
    <t xml:space="preserve">inorder(node): jika node NULL return; inorder(node.left); VISIT(node); inorder(node.right). Urutan: kiri-root-kanan. Pada BST menghasilkan elemen terurut kecil ke besar.</t>
  </si>
  <si>
    <t xml:space="preserve">Jelaskan perbedaan antara tree yang balanced dan unbalanced. Berikan contoh kasus terburuk BST.</t>
  </si>
  <si>
    <t xml:space="preserve">Balanced: selisih tinggi subtree kiri-kanan setiap node ≤1 (misal AVL tree). Unbalanced: terjadi jika data diinsert terurut ke BST, tree degenerasi jadi linked list tinggi O(n), semua operasi jadi O(n).</t>
  </si>
  <si>
    <t xml:space="preserve">Apa itu heap? Bedakan max-heap dan min-heap beserta contoh penggunaannya.</t>
  </si>
  <si>
    <t xml:space="preserve">Heap: complete binary tree dengan heap property. Max-heap: parent ≥ children (priority queue prioritas tertinggi, heap sort). Min-heap: parent ≤ children (Dijkstra, elemen terkecil).</t>
  </si>
  <si>
    <t xml:space="preserve">Berikan kompleksitas waktu operasi insert dan delete pada BST untuk kasus rata-rata dan terburuk.</t>
  </si>
  <si>
    <t xml:space="preserve">Rata-rata O(log n) pada BST seimbang. Terburuk O(n) jika BST degenerasi linear. Untuk menjamin O(log n) digunakan self-balancing BST seperti AVL atau Red-Black tree.</t>
  </si>
  <si>
    <t xml:space="preserve">Jelaskan perbedaan representasi graph menggunakan adjacency matrix dan adjacency list. Kapan masing-masing lebih efisien?</t>
  </si>
  <si>
    <t xml:space="preserve">Adjacency matrix: array 2D V×V, cek edge O(1), ruang O(V²), efisien untuk graph dense. Adjacency list: array of list, cek edge O(degree), ruang O(V+E), efisien untuk graph sparse (umum di dunia nyata).</t>
  </si>
  <si>
    <t xml:space="preserve">Jelaskan algoritma BFS (Breadth-First Search) dan tuliskan pseudocode-nya menggunakan queue.</t>
  </si>
  <si>
    <t xml:space="preserve">BFS menggunakan queue: enqueue start, tandai visited, selama queue tidak kosong dequeue node, visit, enqueue tetangga yang belum dikunjungi. Menjamin jalur terpendek (jumlah edge) pada unweighted graph. Kompleksitas O(V+E).</t>
  </si>
  <si>
    <t xml:space="preserve">Apa itu Directed Acyclic Graph (DAG)? Berikan contoh aplikasinya.</t>
  </si>
  <si>
    <t xml:space="preserve">DAG: directed graph tanpa cycle. Aplikasi: dependency resolution (build system, package manager), topological sort penjadwalan, alur kerja, evaluasi ekspresi kompiler.</t>
  </si>
  <si>
    <t xml:space="preserve">Jelaskan algoritma Dijkstra untuk mencari shortest path. Apa syarat graph agar Dijkstra dapat digunakan?</t>
  </si>
  <si>
    <t xml:space="preserve">Dijkstra: greedy dengan priority queue, memilih node berjarak terpendek yang belum diproses, update jarak tetangga. Syarat: bobot edge non-negatif. Kompleksitas O((V+E) log V). Untuk bobot negatif gunakan Bellman-Ford.</t>
  </si>
  <si>
    <t xml:space="preserve">Apa perbedaan antara DFS dan BFS dalam konteks graph traversal? Berikan kasus penggunaan yang tepat untuk masing-masing.</t>
  </si>
  <si>
    <t xml:space="preserve">DFS (stack/rekursi): menjelajah sedalam mungkin sebelum backtrack, cocok untuk deteksi cycle, topological sort, mencari semua path. BFS (queue): level per level, cocok untuk shortest path unweighted, level-order traversal. DFS lebih hemat memori untuk graph dalam; BFS untuk graph lebar.</t>
  </si>
</sst>
</file>

<file path=xl/styles.xml><?xml version="1.0" encoding="utf-8"?>
<styleSheet xmlns="http://schemas.openxmlformats.org/spreadsheetml/2006/main">
  <numFmts count="3">
    <numFmt numFmtId="164" formatCode="General"/>
    <numFmt numFmtId="165" formatCode="0.0\%"/>
    <numFmt numFmtId="166" formatCode="0.00"/>
  </numFmts>
  <fonts count="16">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0"/>
      <name val="Arial"/>
      <family val="0"/>
      <charset val="1"/>
    </font>
    <font>
      <sz val="11"/>
      <color rgb="FF0000FF"/>
      <name val="Arial"/>
      <family val="0"/>
      <charset val="1"/>
    </font>
    <font>
      <b val="true"/>
      <sz val="11"/>
      <color rgb="FFFFFFFF"/>
      <name val="Arial"/>
      <family val="0"/>
      <charset val="1"/>
    </font>
    <font>
      <sz val="11"/>
      <color rgb="FF000000"/>
      <name val="Arial"/>
      <family val="0"/>
      <charset val="1"/>
    </font>
    <font>
      <sz val="9"/>
      <name val="Arial"/>
      <family val="0"/>
      <charset val="1"/>
    </font>
    <font>
      <b val="true"/>
      <sz val="11"/>
      <name val="Arial"/>
      <family val="0"/>
      <charset val="1"/>
    </font>
    <font>
      <b val="true"/>
      <sz val="11"/>
      <color rgb="FF1F4E78"/>
      <name val="Arial"/>
      <family val="0"/>
      <charset val="1"/>
    </font>
    <font>
      <b val="true"/>
      <sz val="11"/>
      <color rgb="FF006100"/>
      <name val="Arial"/>
      <family val="0"/>
      <charset val="1"/>
    </font>
    <font>
      <sz val="10"/>
      <name val="Arial"/>
      <family val="0"/>
      <charset val="1"/>
    </font>
    <font>
      <i val="true"/>
      <sz val="1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CE4D6"/>
        <bgColor rgb="FFD9E1F2"/>
      </patternFill>
    </fill>
    <fill>
      <patternFill patternType="solid">
        <fgColor rgb="FFD9E1F2"/>
        <bgColor rgb="FFC6EFCE"/>
      </patternFill>
    </fill>
    <fill>
      <patternFill patternType="solid">
        <fgColor rgb="FFC6EFCE"/>
        <bgColor rgb="FFD9E1F2"/>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right" vertical="center" textRotation="0" wrapText="false" indent="0" shrinkToFit="false"/>
      <protection locked="true" hidden="false"/>
    </xf>
    <xf numFmtId="166" fontId="11" fillId="3" borderId="1" xfId="0" applyFont="true" applyBorder="true" applyAlignment="true" applyProtection="false">
      <alignment horizontal="center" vertical="center" textRotation="0" wrapText="false" indent="0" shrinkToFit="false"/>
      <protection locked="true" hidden="false"/>
    </xf>
    <xf numFmtId="165" fontId="11" fillId="3"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7B7B7"/>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11"/>
    <col collapsed="false" customWidth="true" hidden="false" outlineLevel="0" max="5" min="4" style="1" width="15"/>
    <col collapsed="false" customWidth="true" hidden="false" outlineLevel="0" max="6" min="6" style="1" width="17"/>
    <col collapsed="false" customWidth="true" hidden="false" outlineLevel="0" max="7" min="7" style="1" width="11"/>
    <col collapsed="false" customWidth="true" hidden="false" outlineLevel="0" max="8" min="8" style="1" width="34"/>
  </cols>
  <sheetData>
    <row r="1" customFormat="false" ht="17.25" hidden="false" customHeight="true" outlineLevel="0" collapsed="false">
      <c r="A1" s="2" t="s">
        <v>0</v>
      </c>
      <c r="B1" s="2"/>
      <c r="C1" s="2"/>
      <c r="D1" s="2"/>
      <c r="E1" s="2"/>
      <c r="F1" s="2"/>
      <c r="G1" s="2"/>
      <c r="H1" s="2"/>
      <c r="I1" s="2"/>
    </row>
    <row r="2" customFormat="false" ht="15" hidden="false" customHeight="true" outlineLevel="0" collapsed="false">
      <c r="A2" s="3" t="s">
        <v>1</v>
      </c>
      <c r="B2" s="3"/>
      <c r="C2" s="3"/>
      <c r="D2" s="3"/>
      <c r="E2" s="3"/>
      <c r="F2" s="3"/>
      <c r="G2" s="3"/>
      <c r="H2" s="3"/>
      <c r="I2" s="3"/>
    </row>
    <row r="4" customFormat="false" ht="15" hidden="false" customHeight="true" outlineLevel="0" collapsed="false">
      <c r="A4" s="4" t="s">
        <v>2</v>
      </c>
      <c r="B4" s="5" t="s">
        <v>3</v>
      </c>
      <c r="D4" s="4" t="s">
        <v>4</v>
      </c>
      <c r="E4" s="5" t="s">
        <v>5</v>
      </c>
    </row>
    <row r="6" customFormat="false" ht="42" hidden="false" customHeight="true" outlineLevel="0" collapsed="false">
      <c r="A6" s="6" t="s">
        <v>6</v>
      </c>
      <c r="B6" s="6" t="s">
        <v>7</v>
      </c>
      <c r="C6" s="6" t="s">
        <v>8</v>
      </c>
      <c r="D6" s="6" t="s">
        <v>9</v>
      </c>
      <c r="E6" s="6" t="s">
        <v>10</v>
      </c>
      <c r="F6" s="6" t="s">
        <v>11</v>
      </c>
      <c r="G6" s="6" t="s">
        <v>12</v>
      </c>
      <c r="H6" s="6" t="s">
        <v>13</v>
      </c>
    </row>
    <row r="7" customFormat="false" ht="15" hidden="false" customHeight="true" outlineLevel="0" collapsed="false">
      <c r="A7" s="7" t="n">
        <v>1</v>
      </c>
      <c r="B7" s="7" t="s">
        <v>14</v>
      </c>
      <c r="C7" s="7" t="s">
        <v>15</v>
      </c>
      <c r="D7" s="8" t="n">
        <v>3</v>
      </c>
      <c r="E7" s="8" t="n">
        <v>3</v>
      </c>
      <c r="F7" s="8" t="n">
        <v>3</v>
      </c>
      <c r="G7" s="9" t="n">
        <f aca="false">IF(COUNT(D7:F7)=3,(D7/3*0.4+E7/3*0.3+F7/3*0.3)*100,"")</f>
        <v>100</v>
      </c>
      <c r="H7" s="10" t="s">
        <v>16</v>
      </c>
    </row>
    <row r="8" customFormat="false" ht="15" hidden="false" customHeight="true" outlineLevel="0" collapsed="false">
      <c r="A8" s="7" t="n">
        <v>2</v>
      </c>
      <c r="B8" s="7" t="s">
        <v>17</v>
      </c>
      <c r="C8" s="7" t="s">
        <v>15</v>
      </c>
      <c r="D8" s="8" t="n">
        <v>3</v>
      </c>
      <c r="E8" s="8" t="n">
        <v>3</v>
      </c>
      <c r="F8" s="8" t="n">
        <v>3</v>
      </c>
      <c r="G8" s="9" t="n">
        <f aca="false">IF(COUNT(D8:F8)=3,(D8/3*0.4+E8/3*0.3+F8/3*0.3)*100,"")</f>
        <v>100</v>
      </c>
      <c r="H8" s="10" t="s">
        <v>18</v>
      </c>
    </row>
    <row r="9" customFormat="false" ht="15" hidden="false" customHeight="true" outlineLevel="0" collapsed="false">
      <c r="A9" s="7" t="n">
        <v>3</v>
      </c>
      <c r="B9" s="7" t="s">
        <v>19</v>
      </c>
      <c r="C9" s="7" t="s">
        <v>15</v>
      </c>
      <c r="D9" s="8" t="n">
        <v>3</v>
      </c>
      <c r="E9" s="8" t="n">
        <v>3</v>
      </c>
      <c r="F9" s="8" t="n">
        <v>3</v>
      </c>
      <c r="G9" s="9" t="n">
        <f aca="false">IF(COUNT(D9:F9)=3,(D9/3*0.4+E9/3*0.3+F9/3*0.3)*100,"")</f>
        <v>100</v>
      </c>
      <c r="H9" s="10" t="s">
        <v>20</v>
      </c>
    </row>
    <row r="10" customFormat="false" ht="15" hidden="false" customHeight="true" outlineLevel="0" collapsed="false">
      <c r="A10" s="7" t="n">
        <v>4</v>
      </c>
      <c r="B10" s="7" t="s">
        <v>21</v>
      </c>
      <c r="C10" s="7" t="s">
        <v>15</v>
      </c>
      <c r="D10" s="8" t="n">
        <v>3</v>
      </c>
      <c r="E10" s="8" t="n">
        <v>3</v>
      </c>
      <c r="F10" s="8" t="n">
        <v>2</v>
      </c>
      <c r="G10" s="9" t="n">
        <f aca="false">IF(COUNT(D10:F10)=3,(D10/3*0.4+E10/3*0.3+F10/3*0.3)*100,"")</f>
        <v>90</v>
      </c>
      <c r="H10" s="10" t="s">
        <v>22</v>
      </c>
    </row>
    <row r="11" customFormat="false" ht="15" hidden="false" customHeight="true" outlineLevel="0" collapsed="false">
      <c r="A11" s="7" t="n">
        <v>5</v>
      </c>
      <c r="B11" s="7" t="s">
        <v>23</v>
      </c>
      <c r="C11" s="7" t="s">
        <v>15</v>
      </c>
      <c r="D11" s="8" t="n">
        <v>3</v>
      </c>
      <c r="E11" s="8" t="n">
        <v>3</v>
      </c>
      <c r="F11" s="8" t="n">
        <v>3</v>
      </c>
      <c r="G11" s="9" t="n">
        <f aca="false">IF(COUNT(D11:F11)=3,(D11/3*0.4+E11/3*0.3+F11/3*0.3)*100,"")</f>
        <v>100</v>
      </c>
      <c r="H11" s="10" t="s">
        <v>24</v>
      </c>
    </row>
    <row r="12" customFormat="false" ht="15" hidden="false" customHeight="true" outlineLevel="0" collapsed="false">
      <c r="A12" s="7" t="n">
        <v>6</v>
      </c>
      <c r="B12" s="7" t="s">
        <v>25</v>
      </c>
      <c r="C12" s="7" t="s">
        <v>26</v>
      </c>
      <c r="D12" s="8" t="n">
        <v>3</v>
      </c>
      <c r="E12" s="8" t="n">
        <v>3</v>
      </c>
      <c r="F12" s="8" t="n">
        <v>2</v>
      </c>
      <c r="G12" s="9" t="n">
        <f aca="false">IF(COUNT(D12:F12)=3,(D12/3*0.4+E12/3*0.3+F12/3*0.3)*100,"")</f>
        <v>90</v>
      </c>
      <c r="H12" s="10" t="s">
        <v>27</v>
      </c>
    </row>
    <row r="13" customFormat="false" ht="15" hidden="false" customHeight="true" outlineLevel="0" collapsed="false">
      <c r="A13" s="7" t="n">
        <v>7</v>
      </c>
      <c r="B13" s="7" t="s">
        <v>28</v>
      </c>
      <c r="C13" s="7" t="s">
        <v>26</v>
      </c>
      <c r="D13" s="8" t="n">
        <v>3</v>
      </c>
      <c r="E13" s="8" t="n">
        <v>3</v>
      </c>
      <c r="F13" s="8" t="n">
        <v>3</v>
      </c>
      <c r="G13" s="9" t="n">
        <f aca="false">IF(COUNT(D13:F13)=3,(D13/3*0.4+E13/3*0.3+F13/3*0.3)*100,"")</f>
        <v>100</v>
      </c>
      <c r="H13" s="10" t="s">
        <v>29</v>
      </c>
    </row>
    <row r="14" customFormat="false" ht="15" hidden="false" customHeight="true" outlineLevel="0" collapsed="false">
      <c r="A14" s="7" t="n">
        <v>8</v>
      </c>
      <c r="B14" s="7" t="s">
        <v>30</v>
      </c>
      <c r="C14" s="7" t="s">
        <v>26</v>
      </c>
      <c r="D14" s="8" t="n">
        <v>3</v>
      </c>
      <c r="E14" s="8" t="n">
        <v>3</v>
      </c>
      <c r="F14" s="8" t="n">
        <v>2</v>
      </c>
      <c r="G14" s="9" t="n">
        <f aca="false">IF(COUNT(D14:F14)=3,(D14/3*0.4+E14/3*0.3+F14/3*0.3)*100,"")</f>
        <v>90</v>
      </c>
      <c r="H14" s="10" t="s">
        <v>31</v>
      </c>
    </row>
    <row r="15" customFormat="false" ht="15" hidden="false" customHeight="true" outlineLevel="0" collapsed="false">
      <c r="A15" s="7" t="n">
        <v>9</v>
      </c>
      <c r="B15" s="7" t="s">
        <v>32</v>
      </c>
      <c r="C15" s="7" t="s">
        <v>26</v>
      </c>
      <c r="D15" s="8" t="n">
        <v>3</v>
      </c>
      <c r="E15" s="8" t="n">
        <v>3</v>
      </c>
      <c r="F15" s="8" t="n">
        <v>2</v>
      </c>
      <c r="G15" s="9" t="n">
        <f aca="false">IF(COUNT(D15:F15)=3,(D15/3*0.4+E15/3*0.3+F15/3*0.3)*100,"")</f>
        <v>90</v>
      </c>
      <c r="H15" s="10" t="s">
        <v>33</v>
      </c>
    </row>
    <row r="16" customFormat="false" ht="15" hidden="false" customHeight="true" outlineLevel="0" collapsed="false">
      <c r="A16" s="7" t="n">
        <v>10</v>
      </c>
      <c r="B16" s="7" t="s">
        <v>34</v>
      </c>
      <c r="C16" s="7" t="s">
        <v>26</v>
      </c>
      <c r="D16" s="8" t="n">
        <v>3</v>
      </c>
      <c r="E16" s="8" t="n">
        <v>3</v>
      </c>
      <c r="F16" s="8" t="n">
        <v>3</v>
      </c>
      <c r="G16" s="9" t="n">
        <f aca="false">IF(COUNT(D16:F16)=3,(D16/3*0.4+E16/3*0.3+F16/3*0.3)*100,"")</f>
        <v>100</v>
      </c>
      <c r="H16" s="10" t="s">
        <v>35</v>
      </c>
    </row>
    <row r="17" customFormat="false" ht="15" hidden="false" customHeight="true" outlineLevel="0" collapsed="false">
      <c r="A17" s="7" t="n">
        <v>11</v>
      </c>
      <c r="B17" s="7" t="s">
        <v>36</v>
      </c>
      <c r="C17" s="7" t="s">
        <v>37</v>
      </c>
      <c r="D17" s="8" t="n">
        <v>3</v>
      </c>
      <c r="E17" s="8" t="n">
        <v>3</v>
      </c>
      <c r="F17" s="8" t="n">
        <v>3</v>
      </c>
      <c r="G17" s="9" t="n">
        <f aca="false">IF(COUNT(D17:F17)=3,(D17/3*0.4+E17/3*0.3+F17/3*0.3)*100,"")</f>
        <v>100</v>
      </c>
      <c r="H17" s="10" t="s">
        <v>38</v>
      </c>
    </row>
    <row r="18" customFormat="false" ht="15" hidden="false" customHeight="true" outlineLevel="0" collapsed="false">
      <c r="A18" s="7" t="n">
        <v>12</v>
      </c>
      <c r="B18" s="7" t="s">
        <v>39</v>
      </c>
      <c r="C18" s="7" t="s">
        <v>37</v>
      </c>
      <c r="D18" s="8" t="n">
        <v>3</v>
      </c>
      <c r="E18" s="8" t="n">
        <v>3</v>
      </c>
      <c r="F18" s="8" t="n">
        <v>3</v>
      </c>
      <c r="G18" s="9" t="n">
        <f aca="false">IF(COUNT(D18:F18)=3,(D18/3*0.4+E18/3*0.3+F18/3*0.3)*100,"")</f>
        <v>100</v>
      </c>
      <c r="H18" s="10" t="s">
        <v>40</v>
      </c>
    </row>
    <row r="19" customFormat="false" ht="15" hidden="false" customHeight="true" outlineLevel="0" collapsed="false">
      <c r="A19" s="7" t="n">
        <v>13</v>
      </c>
      <c r="B19" s="7" t="s">
        <v>41</v>
      </c>
      <c r="C19" s="7" t="s">
        <v>37</v>
      </c>
      <c r="D19" s="8" t="n">
        <v>3</v>
      </c>
      <c r="E19" s="8" t="n">
        <v>3</v>
      </c>
      <c r="F19" s="8" t="n">
        <v>3</v>
      </c>
      <c r="G19" s="9" t="n">
        <f aca="false">IF(COUNT(D19:F19)=3,(D19/3*0.4+E19/3*0.3+F19/3*0.3)*100,"")</f>
        <v>100</v>
      </c>
      <c r="H19" s="10" t="s">
        <v>42</v>
      </c>
    </row>
    <row r="20" customFormat="false" ht="15" hidden="false" customHeight="true" outlineLevel="0" collapsed="false">
      <c r="A20" s="7" t="n">
        <v>14</v>
      </c>
      <c r="B20" s="7" t="s">
        <v>43</v>
      </c>
      <c r="C20" s="7" t="s">
        <v>37</v>
      </c>
      <c r="D20" s="8" t="n">
        <v>3</v>
      </c>
      <c r="E20" s="8" t="n">
        <v>3</v>
      </c>
      <c r="F20" s="8" t="n">
        <v>3</v>
      </c>
      <c r="G20" s="9" t="n">
        <f aca="false">IF(COUNT(D20:F20)=3,(D20/3*0.4+E20/3*0.3+F20/3*0.3)*100,"")</f>
        <v>100</v>
      </c>
      <c r="H20" s="10" t="s">
        <v>44</v>
      </c>
    </row>
    <row r="21" customFormat="false" ht="15" hidden="false" customHeight="true" outlineLevel="0" collapsed="false">
      <c r="A21" s="7" t="n">
        <v>15</v>
      </c>
      <c r="B21" s="7" t="s">
        <v>45</v>
      </c>
      <c r="C21" s="7" t="s">
        <v>37</v>
      </c>
      <c r="D21" s="8" t="n">
        <v>3</v>
      </c>
      <c r="E21" s="8" t="n">
        <v>3</v>
      </c>
      <c r="F21" s="8" t="n">
        <v>3</v>
      </c>
      <c r="G21" s="9" t="n">
        <f aca="false">IF(COUNT(D21:F21)=3,(D21/3*0.4+E21/3*0.3+F21/3*0.3)*100,"")</f>
        <v>100</v>
      </c>
      <c r="H21" s="10" t="s">
        <v>46</v>
      </c>
    </row>
    <row r="22" customFormat="false" ht="15" hidden="false" customHeight="true" outlineLevel="0" collapsed="false">
      <c r="A22" s="11" t="s">
        <v>47</v>
      </c>
      <c r="B22" s="11"/>
      <c r="C22" s="11"/>
      <c r="D22" s="12" t="n">
        <f aca="false">IFERROR(AVERAGE(D7:D21),"")</f>
        <v>3</v>
      </c>
      <c r="E22" s="12" t="n">
        <f aca="false">IFERROR(AVERAGE(E7:E21),"")</f>
        <v>3</v>
      </c>
      <c r="F22" s="12" t="n">
        <f aca="false">IFERROR(AVERAGE(F7:F21),"")</f>
        <v>2.73333333333333</v>
      </c>
      <c r="G22" s="13" t="n">
        <f aca="false">IFERROR(AVERAGE(G7:G21),"")</f>
        <v>97.3333333333333</v>
      </c>
      <c r="H22" s="14"/>
    </row>
    <row r="24" customFormat="false" ht="15" hidden="false" customHeight="true" outlineLevel="0" collapsed="false">
      <c r="A24" s="15" t="s">
        <v>48</v>
      </c>
      <c r="B24" s="15"/>
      <c r="C24" s="15"/>
      <c r="D24" s="15"/>
      <c r="E24" s="15"/>
      <c r="F24" s="15"/>
      <c r="G24" s="15"/>
      <c r="H24" s="15"/>
    </row>
    <row r="25" customFormat="false" ht="15" hidden="false" customHeight="true" outlineLevel="0" collapsed="false">
      <c r="A25" s="16" t="s">
        <v>49</v>
      </c>
      <c r="B25" s="16"/>
      <c r="C25" s="16"/>
      <c r="D25" s="16"/>
      <c r="E25" s="16"/>
      <c r="F25" s="17" t="n">
        <f aca="false">IFERROR(D22/3*100,"")</f>
        <v>100</v>
      </c>
      <c r="G25" s="18"/>
      <c r="H25" s="18"/>
    </row>
    <row r="26" customFormat="false" ht="15" hidden="false" customHeight="true" outlineLevel="0" collapsed="false">
      <c r="A26" s="16" t="s">
        <v>50</v>
      </c>
      <c r="B26" s="16"/>
      <c r="C26" s="16"/>
      <c r="D26" s="16"/>
      <c r="E26" s="16"/>
      <c r="F26" s="17" t="n">
        <f aca="false">IFERROR(E22/3*100,"")</f>
        <v>100</v>
      </c>
      <c r="G26" s="18"/>
      <c r="H26" s="18"/>
    </row>
    <row r="27" customFormat="false" ht="15" hidden="false" customHeight="true" outlineLevel="0" collapsed="false">
      <c r="A27" s="16" t="s">
        <v>51</v>
      </c>
      <c r="B27" s="16"/>
      <c r="C27" s="16"/>
      <c r="D27" s="16"/>
      <c r="E27" s="16"/>
      <c r="F27" s="17" t="n">
        <f aca="false">IFERROR(F22/3*100,"")</f>
        <v>91.1111111111111</v>
      </c>
      <c r="G27" s="18"/>
      <c r="H27" s="18"/>
    </row>
    <row r="28" customFormat="false" ht="15" hidden="false" customHeight="true" outlineLevel="0" collapsed="false">
      <c r="A28" s="16" t="s">
        <v>52</v>
      </c>
      <c r="B28" s="16"/>
      <c r="C28" s="16"/>
      <c r="D28" s="16"/>
      <c r="E28" s="16"/>
      <c r="F28" s="17" t="n">
        <f aca="false">IFERROR(G22,"")</f>
        <v>97.3333333333333</v>
      </c>
      <c r="G28" s="18"/>
      <c r="H28" s="18"/>
    </row>
    <row r="30" customFormat="false" ht="15" hidden="false" customHeight="true" outlineLevel="0" collapsed="false">
      <c r="A30" s="19" t="s">
        <v>53</v>
      </c>
      <c r="B30" s="19"/>
      <c r="C30" s="19"/>
      <c r="D30" s="19"/>
      <c r="E30" s="19"/>
      <c r="F30" s="20" t="str">
        <f aca="false">IF(F28="","",IF(F28&gt;=70,"Lulus","Tidak Lulus"))</f>
        <v>Lulus</v>
      </c>
      <c r="G30" s="18"/>
      <c r="H30" s="18"/>
    </row>
  </sheetData>
  <mergeCells count="9">
    <mergeCell ref="A1:I1"/>
    <mergeCell ref="A2:I2"/>
    <mergeCell ref="A22:C22"/>
    <mergeCell ref="A24:H24"/>
    <mergeCell ref="A25:E25"/>
    <mergeCell ref="A26:E26"/>
    <mergeCell ref="A27:E27"/>
    <mergeCell ref="A28:E28"/>
    <mergeCell ref="A30:E30"/>
  </mergeCells>
  <dataValidations count="1">
    <dataValidation allowBlank="true" error="Masukkan nilai 1, 2, atau 3." errorStyle="stop" errorTitle="Nilai tidak valid" operator="between" showDropDown="false" showErrorMessage="true" showInputMessage="false" sqref="D7:F21"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8"/>
    <col collapsed="false" customWidth="true" hidden="false" outlineLevel="0" max="3" min="3" style="1" width="26"/>
    <col collapsed="false" customWidth="true" hidden="false" outlineLevel="0" max="4" min="4" style="1" width="22"/>
    <col collapsed="false" customWidth="true" hidden="false" outlineLevel="0" max="5" min="5" style="1" width="34"/>
  </cols>
  <sheetData>
    <row r="1" customFormat="false" ht="17.25" hidden="false" customHeight="true" outlineLevel="0" collapsed="false">
      <c r="A1" s="2" t="s">
        <v>54</v>
      </c>
      <c r="B1" s="2"/>
      <c r="C1" s="2"/>
      <c r="D1" s="2"/>
      <c r="E1" s="2"/>
    </row>
    <row r="3" customFormat="false" ht="15" hidden="false" customHeight="true" outlineLevel="0" collapsed="false">
      <c r="A3" s="6" t="s">
        <v>55</v>
      </c>
      <c r="B3" s="6" t="s">
        <v>56</v>
      </c>
      <c r="C3" s="6" t="s">
        <v>57</v>
      </c>
      <c r="D3" s="6" t="s">
        <v>58</v>
      </c>
      <c r="E3" s="6" t="s">
        <v>59</v>
      </c>
    </row>
    <row r="4" customFormat="false" ht="15" hidden="false" customHeight="true" outlineLevel="0" collapsed="false">
      <c r="A4" s="21" t="s">
        <v>60</v>
      </c>
      <c r="B4" s="22" t="s">
        <v>61</v>
      </c>
      <c r="C4" s="21" t="s">
        <v>62</v>
      </c>
      <c r="D4" s="21" t="s">
        <v>63</v>
      </c>
      <c r="E4" s="21" t="s">
        <v>64</v>
      </c>
    </row>
    <row r="5" customFormat="false" ht="15" hidden="false" customHeight="true" outlineLevel="0" collapsed="false">
      <c r="A5" s="21" t="s">
        <v>65</v>
      </c>
      <c r="B5" s="22" t="s">
        <v>66</v>
      </c>
      <c r="C5" s="21" t="s">
        <v>67</v>
      </c>
      <c r="D5" s="21" t="s">
        <v>68</v>
      </c>
      <c r="E5" s="21" t="s">
        <v>69</v>
      </c>
    </row>
    <row r="6" customFormat="false" ht="23.25" hidden="false" customHeight="true" outlineLevel="0" collapsed="false">
      <c r="A6" s="21" t="s">
        <v>70</v>
      </c>
      <c r="B6" s="22" t="s">
        <v>66</v>
      </c>
      <c r="C6" s="21" t="s">
        <v>71</v>
      </c>
      <c r="D6" s="21" t="s">
        <v>72</v>
      </c>
      <c r="E6" s="21" t="s">
        <v>73</v>
      </c>
    </row>
    <row r="8" customFormat="false" ht="15" hidden="false" customHeight="true" outlineLevel="0" collapsed="false">
      <c r="A8" s="23" t="s">
        <v>74</v>
      </c>
      <c r="B8" s="23"/>
      <c r="C8" s="23"/>
      <c r="D8" s="23"/>
      <c r="E8" s="23"/>
    </row>
    <row r="9" customFormat="false" ht="15" hidden="false" customHeight="true" outlineLevel="0" collapsed="false">
      <c r="A9" s="24" t="s">
        <v>75</v>
      </c>
      <c r="B9" s="24"/>
      <c r="C9" s="24"/>
      <c r="D9" s="24"/>
      <c r="E9" s="24"/>
    </row>
    <row r="10" customFormat="false" ht="15" hidden="false" customHeight="true" outlineLevel="0" collapsed="false">
      <c r="A10" s="24" t="s">
        <v>76</v>
      </c>
      <c r="B10" s="24"/>
      <c r="C10" s="24"/>
      <c r="D10" s="24"/>
      <c r="E10" s="24"/>
    </row>
  </sheetData>
  <mergeCells count="4">
    <mergeCell ref="A1:E1"/>
    <mergeCell ref="A8:E8"/>
    <mergeCell ref="A9:E9"/>
    <mergeCell ref="A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46"/>
    <col collapsed="false" customWidth="true" hidden="false" outlineLevel="0" max="4" min="4" style="1" width="55"/>
  </cols>
  <sheetData>
    <row r="1" customFormat="false" ht="17.25" hidden="false" customHeight="true" outlineLevel="0" collapsed="false">
      <c r="A1" s="2" t="s">
        <v>77</v>
      </c>
      <c r="B1" s="2"/>
      <c r="C1" s="2"/>
      <c r="D1" s="2"/>
    </row>
    <row r="3" customFormat="false" ht="15" hidden="false" customHeight="true" outlineLevel="0" collapsed="false">
      <c r="A3" s="6" t="s">
        <v>78</v>
      </c>
      <c r="B3" s="6" t="s">
        <v>8</v>
      </c>
      <c r="C3" s="6" t="s">
        <v>79</v>
      </c>
      <c r="D3" s="6" t="s">
        <v>80</v>
      </c>
    </row>
    <row r="4" customFormat="false" ht="60" hidden="false" customHeight="true" outlineLevel="0" collapsed="false">
      <c r="A4" s="22" t="s">
        <v>14</v>
      </c>
      <c r="B4" s="22" t="s">
        <v>15</v>
      </c>
      <c r="C4" s="21" t="s">
        <v>81</v>
      </c>
      <c r="D4" s="21" t="s">
        <v>82</v>
      </c>
    </row>
    <row r="5" customFormat="false" ht="60" hidden="false" customHeight="true" outlineLevel="0" collapsed="false">
      <c r="A5" s="22" t="s">
        <v>17</v>
      </c>
      <c r="B5" s="22" t="s">
        <v>15</v>
      </c>
      <c r="C5" s="21" t="s">
        <v>83</v>
      </c>
      <c r="D5" s="21" t="s">
        <v>84</v>
      </c>
    </row>
    <row r="6" customFormat="false" ht="60" hidden="false" customHeight="true" outlineLevel="0" collapsed="false">
      <c r="A6" s="22" t="s">
        <v>19</v>
      </c>
      <c r="B6" s="22" t="s">
        <v>15</v>
      </c>
      <c r="C6" s="21" t="s">
        <v>85</v>
      </c>
      <c r="D6" s="21" t="s">
        <v>86</v>
      </c>
    </row>
    <row r="7" customFormat="false" ht="60" hidden="false" customHeight="true" outlineLevel="0" collapsed="false">
      <c r="A7" s="22" t="s">
        <v>21</v>
      </c>
      <c r="B7" s="22" t="s">
        <v>15</v>
      </c>
      <c r="C7" s="21" t="s">
        <v>87</v>
      </c>
      <c r="D7" s="21" t="s">
        <v>88</v>
      </c>
    </row>
    <row r="8" customFormat="false" ht="60" hidden="false" customHeight="true" outlineLevel="0" collapsed="false">
      <c r="A8" s="22" t="s">
        <v>23</v>
      </c>
      <c r="B8" s="22" t="s">
        <v>15</v>
      </c>
      <c r="C8" s="21" t="s">
        <v>89</v>
      </c>
      <c r="D8" s="21" t="s">
        <v>90</v>
      </c>
    </row>
    <row r="9" customFormat="false" ht="60" hidden="false" customHeight="true" outlineLevel="0" collapsed="false">
      <c r="A9" s="22" t="s">
        <v>25</v>
      </c>
      <c r="B9" s="22" t="s">
        <v>26</v>
      </c>
      <c r="C9" s="21" t="s">
        <v>91</v>
      </c>
      <c r="D9" s="21" t="s">
        <v>92</v>
      </c>
    </row>
    <row r="10" customFormat="false" ht="60" hidden="false" customHeight="true" outlineLevel="0" collapsed="false">
      <c r="A10" s="22" t="s">
        <v>28</v>
      </c>
      <c r="B10" s="22" t="s">
        <v>26</v>
      </c>
      <c r="C10" s="21" t="s">
        <v>93</v>
      </c>
      <c r="D10" s="21" t="s">
        <v>94</v>
      </c>
    </row>
    <row r="11" customFormat="false" ht="60" hidden="false" customHeight="true" outlineLevel="0" collapsed="false">
      <c r="A11" s="22" t="s">
        <v>30</v>
      </c>
      <c r="B11" s="22" t="s">
        <v>26</v>
      </c>
      <c r="C11" s="21" t="s">
        <v>95</v>
      </c>
      <c r="D11" s="21" t="s">
        <v>96</v>
      </c>
    </row>
    <row r="12" customFormat="false" ht="60" hidden="false" customHeight="true" outlineLevel="0" collapsed="false">
      <c r="A12" s="22" t="s">
        <v>32</v>
      </c>
      <c r="B12" s="22" t="s">
        <v>26</v>
      </c>
      <c r="C12" s="21" t="s">
        <v>97</v>
      </c>
      <c r="D12" s="21" t="s">
        <v>98</v>
      </c>
    </row>
    <row r="13" customFormat="false" ht="60" hidden="false" customHeight="true" outlineLevel="0" collapsed="false">
      <c r="A13" s="22" t="s">
        <v>34</v>
      </c>
      <c r="B13" s="22" t="s">
        <v>26</v>
      </c>
      <c r="C13" s="21" t="s">
        <v>99</v>
      </c>
      <c r="D13" s="21" t="s">
        <v>100</v>
      </c>
    </row>
    <row r="14" customFormat="false" ht="60" hidden="false" customHeight="true" outlineLevel="0" collapsed="false">
      <c r="A14" s="22" t="s">
        <v>36</v>
      </c>
      <c r="B14" s="22" t="s">
        <v>37</v>
      </c>
      <c r="C14" s="21" t="s">
        <v>101</v>
      </c>
      <c r="D14" s="21" t="s">
        <v>102</v>
      </c>
    </row>
    <row r="15" customFormat="false" ht="60" hidden="false" customHeight="true" outlineLevel="0" collapsed="false">
      <c r="A15" s="22" t="s">
        <v>39</v>
      </c>
      <c r="B15" s="22" t="s">
        <v>37</v>
      </c>
      <c r="C15" s="21" t="s">
        <v>103</v>
      </c>
      <c r="D15" s="21" t="s">
        <v>104</v>
      </c>
    </row>
    <row r="16" customFormat="false" ht="60" hidden="false" customHeight="true" outlineLevel="0" collapsed="false">
      <c r="A16" s="22" t="s">
        <v>41</v>
      </c>
      <c r="B16" s="22" t="s">
        <v>37</v>
      </c>
      <c r="C16" s="21" t="s">
        <v>105</v>
      </c>
      <c r="D16" s="21" t="s">
        <v>106</v>
      </c>
    </row>
    <row r="17" customFormat="false" ht="60" hidden="false" customHeight="true" outlineLevel="0" collapsed="false">
      <c r="A17" s="22" t="s">
        <v>43</v>
      </c>
      <c r="B17" s="22" t="s">
        <v>37</v>
      </c>
      <c r="C17" s="21" t="s">
        <v>107</v>
      </c>
      <c r="D17" s="21" t="s">
        <v>108</v>
      </c>
    </row>
    <row r="18" customFormat="false" ht="60" hidden="false" customHeight="true" outlineLevel="0" collapsed="false">
      <c r="A18" s="22" t="s">
        <v>45</v>
      </c>
      <c r="B18" s="22" t="s">
        <v>37</v>
      </c>
      <c r="C18" s="21" t="s">
        <v>109</v>
      </c>
      <c r="D18" s="21" t="s">
        <v>110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2026-07-04T17:15:27Z</dcterms:created>
  <dc:creator>openpyxl</dc:creator>
  <dc:description/>
  <dc:language>en-US</dc:language>
  <cp:lastModifiedBy/>
  <dcterms:modified xsi:type="dcterms:W3CDTF">2026-07-04T18:45:43Z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