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A8FF1DDC-275E-CD48-A2F9-725D6C07282D}" xr6:coauthVersionLast="47" xr6:coauthVersionMax="47" xr10:uidLastSave="{00000000-0000-0000-0000-000000000000}"/>
  <bookViews>
    <workbookView xWindow="0" yWindow="0" windowWidth="33600" windowHeight="21000" tabRatio="500" xr2:uid="{00000000-000D-0000-FFFF-FFFF00000000}"/>
  </bookViews>
  <sheets>
    <sheet name="Lembar Observasi" sheetId="1" r:id="rId1"/>
    <sheet name="Deskripsi Tugas" sheetId="2" r:id="rId2"/>
    <sheet name="Rekap &amp; Analisi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3" l="1"/>
  <c r="C11" i="3"/>
  <c r="B11" i="3"/>
  <c r="D11" i="3" s="1"/>
  <c r="E10" i="3"/>
  <c r="C10" i="3"/>
  <c r="B10" i="3"/>
  <c r="D10" i="3" s="1"/>
  <c r="E9" i="3"/>
  <c r="C9" i="3"/>
  <c r="B9" i="3"/>
  <c r="D9" i="3" s="1"/>
  <c r="E8" i="3"/>
  <c r="C8" i="3"/>
  <c r="B8" i="3"/>
  <c r="D8" i="3" s="1"/>
  <c r="E7" i="3"/>
  <c r="C7" i="3"/>
  <c r="B7" i="3"/>
  <c r="D7" i="3" s="1"/>
  <c r="E6" i="3"/>
  <c r="C6" i="3"/>
  <c r="B6" i="3"/>
  <c r="D6" i="3" s="1"/>
  <c r="E5" i="3"/>
  <c r="C5" i="3"/>
  <c r="B5" i="3"/>
  <c r="D5" i="3" s="1"/>
  <c r="E12" i="3" l="1"/>
  <c r="D12" i="3"/>
</calcChain>
</file>

<file path=xl/sharedStrings.xml><?xml version="1.0" encoding="utf-8"?>
<sst xmlns="http://schemas.openxmlformats.org/spreadsheetml/2006/main" count="161" uniqueCount="53">
  <si>
    <t>Lembar Observasi Usability Testing — Teman Belajar ASD</t>
  </si>
  <si>
    <t>Isi kolom Selesai (Ya/Tidak), Waktu (detik), dan Hambatan untuk setiap tugas T1-T7 setiap responden menyelesaikan sesi.</t>
  </si>
  <si>
    <t>No</t>
  </si>
  <si>
    <t>Responden</t>
  </si>
  <si>
    <t>Topik</t>
  </si>
  <si>
    <t>Tanggal</t>
  </si>
  <si>
    <t>T1 - Pilih Topik</t>
  </si>
  <si>
    <t>T2 - Materi</t>
  </si>
  <si>
    <t>T3 - Contoh</t>
  </si>
  <si>
    <t>T4 - Latihan</t>
  </si>
  <si>
    <t>T5 - Pembahasan</t>
  </si>
  <si>
    <t>T6 - Ringkasan</t>
  </si>
  <si>
    <t>T7 - Progress</t>
  </si>
  <si>
    <t>Selesai</t>
  </si>
  <si>
    <t>Waktu (detik)</t>
  </si>
  <si>
    <t>Hambatan</t>
  </si>
  <si>
    <t>R1</t>
  </si>
  <si>
    <t>Linked List</t>
  </si>
  <si>
    <t>2026-07-04</t>
  </si>
  <si>
    <t>Ya</t>
  </si>
  <si>
    <t>Tidak ada hambatan</t>
  </si>
  <si>
    <t>R2</t>
  </si>
  <si>
    <t>R3</t>
  </si>
  <si>
    <t>R4</t>
  </si>
  <si>
    <t>R5</t>
  </si>
  <si>
    <t>Deskripsi 7 Tugas (Task-Based Usability Test)</t>
  </si>
  <si>
    <t>Sampaikan tugas satu per satu ke responden. Jangan berikan semua sekaligus.</t>
  </si>
  <si>
    <t>Kode</t>
  </si>
  <si>
    <t>Instruksi ke Responden</t>
  </si>
  <si>
    <t>Yang Diamati</t>
  </si>
  <si>
    <t>Pilih topik Linked List dari halaman daftar topik.</t>
  </si>
  <si>
    <t>Apakah menemukan halaman topik dengan mudah?</t>
  </si>
  <si>
    <t>Baca konten materi Linked List, lalu tandai sebagai selesai.</t>
  </si>
  <si>
    <t>Apakah tombol 'Tandai Selesai' mudah ditemukan?</t>
  </si>
  <si>
    <t>Buka tab Contoh dan baca contoh implementasi yang ditampilkan.</t>
  </si>
  <si>
    <t>Apakah tab terkunci terdeteksi? Apakah konten jelas?</t>
  </si>
  <si>
    <t>Kerjakan latihan soal dan kumpulkan seluruh jawaban.</t>
  </si>
  <si>
    <t>Apakah alur pengisian soal intuitif? Ada kebingungan?</t>
  </si>
  <si>
    <t>Baca pembahasan dan skor yang diberikan sistem.</t>
  </si>
  <si>
    <t>Apakah feedback mudah dipahami?</t>
  </si>
  <si>
    <t>Buka tab Ringkasan dan selesaikan alur belajar topik ini.</t>
  </si>
  <si>
    <t>Apakah pengguna tahu ini langkah terakhir?</t>
  </si>
  <si>
    <t>Akses halaman Progres Belajar dan cek status penyelesaian topik.</t>
  </si>
  <si>
    <t>Apakah navigasi ke halaman progress mudah?</t>
  </si>
  <si>
    <t>Rekap &amp; Analisis Observasi per Tugas</t>
  </si>
  <si>
    <t>Dihitung otomatis dari data di sheet 'Lembar Observasi'.</t>
  </si>
  <si>
    <t>Tugas</t>
  </si>
  <si>
    <t>Jumlah Selesai</t>
  </si>
  <si>
    <t>Jumlah Tidak Selesai</t>
  </si>
  <si>
    <t>% Tingkat Keberhasilan</t>
  </si>
  <si>
    <t>Rata-rata Waktu (detik)</t>
  </si>
  <si>
    <t>Catatan Hambatan Utama</t>
  </si>
  <si>
    <t>Rata-rata Keseluruhan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</si>
</sst>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%"/>
    <numFmt numFmtId="165" formatCode="0.0"/>
  </numFmts>
  <fonts count="8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2E5C8A"/>
      </patternFill>
    </fill>
    <fill>
      <patternFill patternType="solid">
        <fgColor rgb="FF3D6EA5"/>
        <bgColor rgb="FF2E5C8A"/>
      </patternFill>
    </fill>
    <fill>
      <patternFill patternType="solid">
        <fgColor rgb="FF2E5C8A"/>
        <bgColor rgb="FF1F4E78"/>
      </patternFill>
    </fill>
    <fill>
      <patternFill patternType="solid">
        <fgColor rgb="FFFCE4D6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7" fillId="5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165" fontId="7" fillId="5" borderId="0" xfId="0" applyNumberFormat="1" applyFont="1" applyFill="1" applyAlignment="1">
      <alignment horizontal="center" vertic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2E5C8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D6EA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"/>
  <sheetViews>
    <sheetView showGridLines="0"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G24" sqref="G24"/>
    </sheetView>
  </sheetViews>
  <sheetFormatPr baseColWidth="10" defaultColWidth="8.6640625" defaultRowHeight="15" x14ac:dyDescent="0.2"/>
  <cols>
    <col min="1" max="1" width="5" customWidth="1"/>
    <col min="2" max="2" width="11" customWidth="1"/>
    <col min="3" max="4" width="12" customWidth="1"/>
    <col min="5" max="5" width="10" customWidth="1"/>
    <col min="6" max="6" width="12" customWidth="1"/>
    <col min="7" max="7" width="28" customWidth="1"/>
    <col min="8" max="8" width="10" customWidth="1"/>
    <col min="9" max="9" width="12" customWidth="1"/>
    <col min="10" max="10" width="28" customWidth="1"/>
    <col min="11" max="11" width="10" customWidth="1"/>
    <col min="12" max="12" width="12" customWidth="1"/>
    <col min="13" max="13" width="28" customWidth="1"/>
    <col min="14" max="14" width="10" customWidth="1"/>
    <col min="15" max="15" width="12" customWidth="1"/>
    <col min="16" max="16" width="28" customWidth="1"/>
    <col min="17" max="17" width="10" customWidth="1"/>
    <col min="18" max="18" width="12" customWidth="1"/>
    <col min="19" max="19" width="28" customWidth="1"/>
    <col min="20" max="20" width="10" customWidth="1"/>
    <col min="21" max="21" width="12" customWidth="1"/>
    <col min="22" max="22" width="28" customWidth="1"/>
    <col min="23" max="23" width="10" customWidth="1"/>
    <col min="24" max="24" width="12" customWidth="1"/>
    <col min="25" max="25" width="28" customWidth="1"/>
  </cols>
  <sheetData>
    <row r="1" spans="1:25" ht="17.25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5" customHeight="1" x14ac:dyDescent="0.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4" spans="1:25" ht="19.5" customHeight="1" x14ac:dyDescent="0.2">
      <c r="A4" s="4" t="s">
        <v>2</v>
      </c>
      <c r="B4" s="4" t="s">
        <v>3</v>
      </c>
      <c r="C4" s="4" t="s">
        <v>4</v>
      </c>
      <c r="D4" s="4" t="s">
        <v>5</v>
      </c>
      <c r="E4" s="3" t="s">
        <v>6</v>
      </c>
      <c r="F4" s="3"/>
      <c r="G4" s="3"/>
      <c r="H4" s="2" t="s">
        <v>7</v>
      </c>
      <c r="I4" s="2"/>
      <c r="J4" s="2"/>
      <c r="K4" s="3" t="s">
        <v>8</v>
      </c>
      <c r="L4" s="3"/>
      <c r="M4" s="3"/>
      <c r="N4" s="2" t="s">
        <v>9</v>
      </c>
      <c r="O4" s="2"/>
      <c r="P4" s="2"/>
      <c r="Q4" s="3" t="s">
        <v>10</v>
      </c>
      <c r="R4" s="3"/>
      <c r="S4" s="3"/>
      <c r="T4" s="2" t="s">
        <v>11</v>
      </c>
      <c r="U4" s="2"/>
      <c r="V4" s="2"/>
      <c r="W4" s="3" t="s">
        <v>12</v>
      </c>
      <c r="X4" s="3"/>
      <c r="Y4" s="3"/>
    </row>
    <row r="5" spans="1:25" ht="25.5" customHeight="1" x14ac:dyDescent="0.2">
      <c r="A5" s="4"/>
      <c r="B5" s="4"/>
      <c r="C5" s="4"/>
      <c r="D5" s="4"/>
      <c r="E5" s="8" t="s">
        <v>13</v>
      </c>
      <c r="F5" s="8" t="s">
        <v>14</v>
      </c>
      <c r="G5" s="8" t="s">
        <v>15</v>
      </c>
      <c r="H5" s="9" t="s">
        <v>13</v>
      </c>
      <c r="I5" s="9" t="s">
        <v>14</v>
      </c>
      <c r="J5" s="9" t="s">
        <v>15</v>
      </c>
      <c r="K5" s="8" t="s">
        <v>13</v>
      </c>
      <c r="L5" s="8" t="s">
        <v>14</v>
      </c>
      <c r="M5" s="8" t="s">
        <v>15</v>
      </c>
      <c r="N5" s="9" t="s">
        <v>13</v>
      </c>
      <c r="O5" s="9" t="s">
        <v>14</v>
      </c>
      <c r="P5" s="9" t="s">
        <v>15</v>
      </c>
      <c r="Q5" s="8" t="s">
        <v>13</v>
      </c>
      <c r="R5" s="8" t="s">
        <v>14</v>
      </c>
      <c r="S5" s="8" t="s">
        <v>15</v>
      </c>
      <c r="T5" s="9" t="s">
        <v>13</v>
      </c>
      <c r="U5" s="9" t="s">
        <v>14</v>
      </c>
      <c r="V5" s="9" t="s">
        <v>15</v>
      </c>
      <c r="W5" s="8" t="s">
        <v>13</v>
      </c>
      <c r="X5" s="8" t="s">
        <v>14</v>
      </c>
      <c r="Y5" s="8" t="s">
        <v>15</v>
      </c>
    </row>
    <row r="6" spans="1:25" ht="15" customHeight="1" x14ac:dyDescent="0.2">
      <c r="A6" s="10">
        <v>1</v>
      </c>
      <c r="B6" s="11" t="s">
        <v>16</v>
      </c>
      <c r="C6" s="12" t="s">
        <v>17</v>
      </c>
      <c r="D6" s="12" t="s">
        <v>18</v>
      </c>
      <c r="E6" s="12" t="s">
        <v>19</v>
      </c>
      <c r="F6" s="12">
        <v>15</v>
      </c>
      <c r="G6" s="13" t="s">
        <v>20</v>
      </c>
      <c r="H6" s="12" t="s">
        <v>19</v>
      </c>
      <c r="I6" s="12">
        <v>74</v>
      </c>
      <c r="J6" s="13" t="s">
        <v>20</v>
      </c>
      <c r="K6" s="12" t="s">
        <v>19</v>
      </c>
      <c r="L6" s="12">
        <v>31</v>
      </c>
      <c r="M6" s="13" t="s">
        <v>20</v>
      </c>
      <c r="N6" s="12" t="s">
        <v>19</v>
      </c>
      <c r="O6" s="12">
        <v>190</v>
      </c>
      <c r="P6" s="13" t="s">
        <v>20</v>
      </c>
      <c r="Q6" s="12" t="s">
        <v>19</v>
      </c>
      <c r="R6" s="12">
        <v>35</v>
      </c>
      <c r="S6" s="13" t="s">
        <v>20</v>
      </c>
      <c r="T6" s="12" t="s">
        <v>19</v>
      </c>
      <c r="U6" s="12">
        <v>22</v>
      </c>
      <c r="V6" s="13" t="s">
        <v>20</v>
      </c>
      <c r="W6" s="12" t="s">
        <v>19</v>
      </c>
      <c r="X6" s="12">
        <v>9</v>
      </c>
      <c r="Y6" s="13" t="s">
        <v>20</v>
      </c>
    </row>
    <row r="7" spans="1:25" ht="15" customHeight="1" x14ac:dyDescent="0.2">
      <c r="A7" s="10">
        <v>2</v>
      </c>
      <c r="B7" s="11" t="s">
        <v>21</v>
      </c>
      <c r="C7" s="12" t="s">
        <v>17</v>
      </c>
      <c r="D7" s="12" t="s">
        <v>18</v>
      </c>
      <c r="E7" s="12" t="s">
        <v>19</v>
      </c>
      <c r="F7" s="12">
        <v>6</v>
      </c>
      <c r="G7" s="13" t="s">
        <v>20</v>
      </c>
      <c r="H7" s="12" t="s">
        <v>19</v>
      </c>
      <c r="I7" s="12">
        <v>146</v>
      </c>
      <c r="J7" s="13" t="s">
        <v>20</v>
      </c>
      <c r="K7" s="12" t="s">
        <v>19</v>
      </c>
      <c r="L7" s="12">
        <v>77</v>
      </c>
      <c r="M7" s="13" t="s">
        <v>20</v>
      </c>
      <c r="N7" s="12" t="s">
        <v>19</v>
      </c>
      <c r="O7" s="12">
        <v>259</v>
      </c>
      <c r="P7" s="13" t="s">
        <v>20</v>
      </c>
      <c r="Q7" s="12" t="s">
        <v>19</v>
      </c>
      <c r="R7" s="12">
        <v>25</v>
      </c>
      <c r="S7" s="13" t="s">
        <v>20</v>
      </c>
      <c r="T7" s="12" t="s">
        <v>19</v>
      </c>
      <c r="U7" s="12">
        <v>33</v>
      </c>
      <c r="V7" s="13" t="s">
        <v>20</v>
      </c>
      <c r="W7" s="12" t="s">
        <v>19</v>
      </c>
      <c r="X7" s="12">
        <v>18</v>
      </c>
      <c r="Y7" s="13" t="s">
        <v>20</v>
      </c>
    </row>
    <row r="8" spans="1:25" ht="15" customHeight="1" x14ac:dyDescent="0.2">
      <c r="A8" s="10">
        <v>3</v>
      </c>
      <c r="B8" s="11" t="s">
        <v>22</v>
      </c>
      <c r="C8" s="12" t="s">
        <v>17</v>
      </c>
      <c r="D8" s="12" t="s">
        <v>18</v>
      </c>
      <c r="E8" s="12" t="s">
        <v>19</v>
      </c>
      <c r="F8" s="12">
        <v>5</v>
      </c>
      <c r="G8" s="13" t="s">
        <v>20</v>
      </c>
      <c r="H8" s="12" t="s">
        <v>19</v>
      </c>
      <c r="I8" s="12">
        <v>63</v>
      </c>
      <c r="J8" s="13" t="s">
        <v>20</v>
      </c>
      <c r="K8" s="12" t="s">
        <v>19</v>
      </c>
      <c r="L8" s="12">
        <v>35</v>
      </c>
      <c r="M8" s="13" t="s">
        <v>20</v>
      </c>
      <c r="N8" s="12" t="s">
        <v>19</v>
      </c>
      <c r="O8" s="12">
        <v>175</v>
      </c>
      <c r="P8" s="13" t="s">
        <v>20</v>
      </c>
      <c r="Q8" s="12" t="s">
        <v>19</v>
      </c>
      <c r="R8" s="12">
        <v>34</v>
      </c>
      <c r="S8" s="13" t="s">
        <v>20</v>
      </c>
      <c r="T8" s="12" t="s">
        <v>19</v>
      </c>
      <c r="U8" s="12">
        <v>31</v>
      </c>
      <c r="V8" s="13" t="s">
        <v>20</v>
      </c>
      <c r="W8" s="12" t="s">
        <v>19</v>
      </c>
      <c r="X8" s="12">
        <v>5</v>
      </c>
      <c r="Y8" s="13" t="s">
        <v>20</v>
      </c>
    </row>
    <row r="9" spans="1:25" ht="15" customHeight="1" x14ac:dyDescent="0.2">
      <c r="A9" s="10">
        <v>4</v>
      </c>
      <c r="B9" s="11" t="s">
        <v>23</v>
      </c>
      <c r="C9" s="12" t="s">
        <v>17</v>
      </c>
      <c r="D9" s="12" t="s">
        <v>18</v>
      </c>
      <c r="E9" s="12" t="s">
        <v>19</v>
      </c>
      <c r="F9" s="12">
        <v>13</v>
      </c>
      <c r="G9" s="13" t="s">
        <v>20</v>
      </c>
      <c r="H9" s="12" t="s">
        <v>19</v>
      </c>
      <c r="I9" s="12">
        <v>85</v>
      </c>
      <c r="J9" s="13" t="s">
        <v>20</v>
      </c>
      <c r="K9" s="12" t="s">
        <v>19</v>
      </c>
      <c r="L9" s="12">
        <v>75</v>
      </c>
      <c r="M9" s="13" t="s">
        <v>20</v>
      </c>
      <c r="N9" s="12" t="s">
        <v>19</v>
      </c>
      <c r="O9" s="12">
        <v>286</v>
      </c>
      <c r="P9" s="13" t="s">
        <v>20</v>
      </c>
      <c r="Q9" s="12" t="s">
        <v>19</v>
      </c>
      <c r="R9" s="12">
        <v>54</v>
      </c>
      <c r="S9" s="13" t="s">
        <v>20</v>
      </c>
      <c r="T9" s="12" t="s">
        <v>19</v>
      </c>
      <c r="U9" s="12">
        <v>28</v>
      </c>
      <c r="V9" s="13" t="s">
        <v>20</v>
      </c>
      <c r="W9" s="12" t="s">
        <v>19</v>
      </c>
      <c r="X9" s="12">
        <v>12</v>
      </c>
      <c r="Y9" s="13" t="s">
        <v>20</v>
      </c>
    </row>
    <row r="10" spans="1:25" ht="15" customHeight="1" x14ac:dyDescent="0.2">
      <c r="A10" s="10">
        <v>5</v>
      </c>
      <c r="B10" s="11" t="s">
        <v>24</v>
      </c>
      <c r="C10" s="12" t="s">
        <v>17</v>
      </c>
      <c r="D10" s="12" t="s">
        <v>18</v>
      </c>
      <c r="E10" s="12" t="s">
        <v>19</v>
      </c>
      <c r="F10" s="12">
        <v>12</v>
      </c>
      <c r="G10" s="13" t="s">
        <v>20</v>
      </c>
      <c r="H10" s="12" t="s">
        <v>19</v>
      </c>
      <c r="I10" s="12">
        <v>135</v>
      </c>
      <c r="J10" s="13" t="s">
        <v>20</v>
      </c>
      <c r="K10" s="12" t="s">
        <v>19</v>
      </c>
      <c r="L10" s="12">
        <v>47</v>
      </c>
      <c r="M10" s="13" t="s">
        <v>20</v>
      </c>
      <c r="N10" s="12" t="s">
        <v>19</v>
      </c>
      <c r="O10" s="12">
        <v>121</v>
      </c>
      <c r="P10" s="13" t="s">
        <v>20</v>
      </c>
      <c r="Q10" s="12" t="s">
        <v>19</v>
      </c>
      <c r="R10" s="12">
        <v>30</v>
      </c>
      <c r="S10" s="13" t="s">
        <v>20</v>
      </c>
      <c r="T10" s="12" t="s">
        <v>19</v>
      </c>
      <c r="U10" s="12">
        <v>37</v>
      </c>
      <c r="V10" s="13" t="s">
        <v>20</v>
      </c>
      <c r="W10" s="12" t="s">
        <v>19</v>
      </c>
      <c r="X10" s="12">
        <v>18</v>
      </c>
      <c r="Y10" s="13" t="s">
        <v>20</v>
      </c>
    </row>
    <row r="11" spans="1:25" ht="15" customHeight="1" x14ac:dyDescent="0.2">
      <c r="A11" s="10"/>
      <c r="B11" s="11"/>
      <c r="C11" s="12"/>
      <c r="D11" s="12"/>
      <c r="E11" s="12"/>
      <c r="F11" s="12"/>
      <c r="G11" s="13"/>
      <c r="H11" s="12"/>
      <c r="I11" s="12"/>
      <c r="J11" s="13"/>
      <c r="K11" s="12"/>
      <c r="L11" s="12"/>
      <c r="M11" s="13"/>
      <c r="N11" s="12"/>
      <c r="O11" s="12"/>
      <c r="P11" s="13"/>
      <c r="Q11" s="12"/>
      <c r="R11" s="12"/>
      <c r="S11" s="13"/>
      <c r="T11" s="12"/>
      <c r="U11" s="12"/>
      <c r="V11" s="13"/>
      <c r="W11" s="12"/>
      <c r="X11" s="12"/>
      <c r="Y11" s="13"/>
    </row>
    <row r="12" spans="1:25" ht="15" customHeight="1" x14ac:dyDescent="0.2">
      <c r="A12" s="10"/>
      <c r="B12" s="11"/>
      <c r="C12" s="12"/>
      <c r="D12" s="12"/>
      <c r="E12" s="12"/>
      <c r="F12" s="12"/>
      <c r="G12" s="13"/>
      <c r="H12" s="12"/>
      <c r="I12" s="12"/>
      <c r="J12" s="13"/>
      <c r="K12" s="12"/>
      <c r="L12" s="12"/>
      <c r="M12" s="13"/>
      <c r="N12" s="12"/>
      <c r="O12" s="12"/>
      <c r="P12" s="13"/>
      <c r="Q12" s="12"/>
      <c r="R12" s="12"/>
      <c r="S12" s="13"/>
      <c r="T12" s="12"/>
      <c r="U12" s="12"/>
      <c r="V12" s="13"/>
      <c r="W12" s="12"/>
      <c r="X12" s="12"/>
      <c r="Y12" s="13"/>
    </row>
    <row r="13" spans="1:25" ht="15" customHeight="1" x14ac:dyDescent="0.2">
      <c r="A13" s="10"/>
      <c r="B13" s="11"/>
      <c r="C13" s="12"/>
      <c r="D13" s="12"/>
      <c r="E13" s="12"/>
      <c r="F13" s="12"/>
      <c r="G13" s="13"/>
      <c r="H13" s="12"/>
      <c r="I13" s="12"/>
      <c r="J13" s="13"/>
      <c r="K13" s="12"/>
      <c r="L13" s="12"/>
      <c r="M13" s="13"/>
      <c r="N13" s="12"/>
      <c r="O13" s="12"/>
      <c r="P13" s="13"/>
      <c r="Q13" s="12"/>
      <c r="R13" s="12"/>
      <c r="S13" s="13"/>
      <c r="T13" s="12"/>
      <c r="U13" s="12"/>
      <c r="V13" s="13"/>
      <c r="W13" s="12"/>
      <c r="X13" s="12"/>
      <c r="Y13" s="13"/>
    </row>
    <row r="14" spans="1:25" ht="15" customHeight="1" x14ac:dyDescent="0.2">
      <c r="A14" s="10"/>
      <c r="B14" s="11"/>
      <c r="C14" s="12"/>
      <c r="D14" s="12"/>
      <c r="E14" s="12"/>
      <c r="F14" s="12"/>
      <c r="G14" s="13"/>
      <c r="H14" s="12"/>
      <c r="I14" s="12"/>
      <c r="J14" s="13"/>
      <c r="K14" s="12"/>
      <c r="L14" s="12"/>
      <c r="M14" s="13"/>
      <c r="N14" s="12"/>
      <c r="O14" s="12"/>
      <c r="P14" s="13"/>
      <c r="Q14" s="12"/>
      <c r="R14" s="12"/>
      <c r="S14" s="13"/>
      <c r="T14" s="12"/>
      <c r="U14" s="12"/>
      <c r="V14" s="13"/>
      <c r="W14" s="12"/>
      <c r="X14" s="12"/>
      <c r="Y14" s="13"/>
    </row>
    <row r="15" spans="1:25" ht="15" customHeight="1" x14ac:dyDescent="0.2">
      <c r="A15" s="10"/>
      <c r="B15" s="11"/>
      <c r="C15" s="12"/>
      <c r="D15" s="12"/>
      <c r="E15" s="12"/>
      <c r="F15" s="12"/>
      <c r="G15" s="13"/>
      <c r="H15" s="12"/>
      <c r="I15" s="12"/>
      <c r="J15" s="13"/>
      <c r="K15" s="12"/>
      <c r="L15" s="12"/>
      <c r="M15" s="13"/>
      <c r="N15" s="12"/>
      <c r="O15" s="12"/>
      <c r="P15" s="13"/>
      <c r="Q15" s="12"/>
      <c r="R15" s="12"/>
      <c r="S15" s="13"/>
      <c r="T15" s="12"/>
      <c r="U15" s="12"/>
      <c r="V15" s="13"/>
      <c r="W15" s="12"/>
      <c r="X15" s="12"/>
      <c r="Y15" s="13"/>
    </row>
  </sheetData>
  <mergeCells count="13">
    <mergeCell ref="A1:Y1"/>
    <mergeCell ref="A2:Y2"/>
    <mergeCell ref="A4:A5"/>
    <mergeCell ref="B4:B5"/>
    <mergeCell ref="C4:C5"/>
    <mergeCell ref="D4:D5"/>
    <mergeCell ref="E4:G4"/>
    <mergeCell ref="H4:J4"/>
    <mergeCell ref="K4:M4"/>
    <mergeCell ref="N4:P4"/>
    <mergeCell ref="Q4:S4"/>
    <mergeCell ref="T4:V4"/>
    <mergeCell ref="W4:Y4"/>
  </mergeCells>
  <dataValidations count="1">
    <dataValidation type="list" allowBlank="1" showErrorMessage="1" errorTitle="Nilai tidak valid" error="Pilih Ya atau Tidak." sqref="E6:E15 H6:H15 K6:K15 N6:N15 Q6:Q15 T6:T15 W6:W15" xr:uid="{00000000-0002-0000-0000-000000000000}">
      <formula1>"Ya,Tidak"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showGridLines="0" zoomScaleNormal="100" workbookViewId="0"/>
  </sheetViews>
  <sheetFormatPr baseColWidth="10" defaultColWidth="8.6640625" defaultRowHeight="15" x14ac:dyDescent="0.2"/>
  <cols>
    <col min="1" max="1" width="20" customWidth="1"/>
    <col min="2" max="2" width="48" customWidth="1"/>
    <col min="3" max="3" width="45" customWidth="1"/>
  </cols>
  <sheetData>
    <row r="1" spans="1:3" ht="17.25" customHeight="1" x14ac:dyDescent="0.2">
      <c r="A1" s="6" t="s">
        <v>25</v>
      </c>
      <c r="B1" s="6"/>
      <c r="C1" s="6"/>
    </row>
    <row r="2" spans="1:3" ht="15" customHeight="1" x14ac:dyDescent="0.2">
      <c r="A2" s="5" t="s">
        <v>26</v>
      </c>
      <c r="B2" s="5"/>
      <c r="C2" s="5"/>
    </row>
    <row r="4" spans="1:3" ht="15" customHeight="1" x14ac:dyDescent="0.2">
      <c r="A4" s="7" t="s">
        <v>27</v>
      </c>
      <c r="B4" s="7" t="s">
        <v>28</v>
      </c>
      <c r="C4" s="7" t="s">
        <v>29</v>
      </c>
    </row>
    <row r="5" spans="1:3" ht="45" customHeight="1" x14ac:dyDescent="0.2">
      <c r="A5" s="14" t="s">
        <v>6</v>
      </c>
      <c r="B5" s="13" t="s">
        <v>30</v>
      </c>
      <c r="C5" s="13" t="s">
        <v>31</v>
      </c>
    </row>
    <row r="6" spans="1:3" ht="45" customHeight="1" x14ac:dyDescent="0.2">
      <c r="A6" s="14" t="s">
        <v>7</v>
      </c>
      <c r="B6" s="13" t="s">
        <v>32</v>
      </c>
      <c r="C6" s="13" t="s">
        <v>33</v>
      </c>
    </row>
    <row r="7" spans="1:3" ht="45" customHeight="1" x14ac:dyDescent="0.2">
      <c r="A7" s="14" t="s">
        <v>8</v>
      </c>
      <c r="B7" s="13" t="s">
        <v>34</v>
      </c>
      <c r="C7" s="13" t="s">
        <v>35</v>
      </c>
    </row>
    <row r="8" spans="1:3" ht="45" customHeight="1" x14ac:dyDescent="0.2">
      <c r="A8" s="14" t="s">
        <v>9</v>
      </c>
      <c r="B8" s="13" t="s">
        <v>36</v>
      </c>
      <c r="C8" s="13" t="s">
        <v>37</v>
      </c>
    </row>
    <row r="9" spans="1:3" ht="45" customHeight="1" x14ac:dyDescent="0.2">
      <c r="A9" s="14" t="s">
        <v>10</v>
      </c>
      <c r="B9" s="13" t="s">
        <v>38</v>
      </c>
      <c r="C9" s="13" t="s">
        <v>39</v>
      </c>
    </row>
    <row r="10" spans="1:3" ht="45" customHeight="1" x14ac:dyDescent="0.2">
      <c r="A10" s="14" t="s">
        <v>11</v>
      </c>
      <c r="B10" s="13" t="s">
        <v>40</v>
      </c>
      <c r="C10" s="13" t="s">
        <v>41</v>
      </c>
    </row>
    <row r="11" spans="1:3" ht="45" customHeight="1" x14ac:dyDescent="0.2">
      <c r="A11" s="14" t="s">
        <v>12</v>
      </c>
      <c r="B11" s="13" t="s">
        <v>42</v>
      </c>
      <c r="C11" s="13" t="s">
        <v>43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14" customWidth="1"/>
    <col min="3" max="4" width="16" customWidth="1"/>
    <col min="5" max="5" width="18" customWidth="1"/>
    <col min="6" max="6" width="40" customWidth="1"/>
  </cols>
  <sheetData>
    <row r="1" spans="1:6" ht="17.25" customHeight="1" x14ac:dyDescent="0.2">
      <c r="A1" s="6" t="s">
        <v>44</v>
      </c>
      <c r="B1" s="6"/>
      <c r="C1" s="6"/>
      <c r="D1" s="6"/>
      <c r="E1" s="6"/>
      <c r="F1" s="6"/>
    </row>
    <row r="2" spans="1:6" ht="15" customHeight="1" x14ac:dyDescent="0.2">
      <c r="A2" s="5" t="s">
        <v>45</v>
      </c>
      <c r="B2" s="5"/>
      <c r="C2" s="5"/>
      <c r="D2" s="5"/>
      <c r="E2" s="5"/>
      <c r="F2" s="5"/>
    </row>
    <row r="4" spans="1:6" ht="23.25" customHeight="1" x14ac:dyDescent="0.2">
      <c r="A4" s="7" t="s">
        <v>46</v>
      </c>
      <c r="B4" s="7" t="s">
        <v>47</v>
      </c>
      <c r="C4" s="7" t="s">
        <v>48</v>
      </c>
      <c r="D4" s="7" t="s">
        <v>49</v>
      </c>
      <c r="E4" s="7" t="s">
        <v>50</v>
      </c>
      <c r="F4" s="7" t="s">
        <v>51</v>
      </c>
    </row>
    <row r="5" spans="1:6" ht="15" customHeight="1" x14ac:dyDescent="0.2">
      <c r="A5" s="14" t="s">
        <v>6</v>
      </c>
      <c r="B5" s="11">
        <f>COUNTIF('Lembar Observasi'!E6:E15,"Ya")</f>
        <v>5</v>
      </c>
      <c r="C5" s="11">
        <f>COUNTIF('Lembar Observasi'!E6:E15,"Tidak")</f>
        <v>0</v>
      </c>
      <c r="D5" s="15">
        <f t="shared" ref="D5:D11" si="0">IFERROR(B5/(B5+C5)*100,"")</f>
        <v>100</v>
      </c>
      <c r="E5" s="16">
        <f>IFERROR(AVERAGE('Lembar Observasi'!F6:F15),"")</f>
        <v>10.199999999999999</v>
      </c>
      <c r="F5" s="13"/>
    </row>
    <row r="6" spans="1:6" ht="15" customHeight="1" x14ac:dyDescent="0.2">
      <c r="A6" s="14" t="s">
        <v>7</v>
      </c>
      <c r="B6" s="11">
        <f>COUNTIF('Lembar Observasi'!H6:H15,"Ya")</f>
        <v>5</v>
      </c>
      <c r="C6" s="11">
        <f>COUNTIF('Lembar Observasi'!H6:H15,"Tidak")</f>
        <v>0</v>
      </c>
      <c r="D6" s="15">
        <f t="shared" si="0"/>
        <v>100</v>
      </c>
      <c r="E6" s="16">
        <f>IFERROR(AVERAGE('Lembar Observasi'!I6:I15),"")</f>
        <v>100.6</v>
      </c>
      <c r="F6" s="13"/>
    </row>
    <row r="7" spans="1:6" ht="15" customHeight="1" x14ac:dyDescent="0.2">
      <c r="A7" s="14" t="s">
        <v>8</v>
      </c>
      <c r="B7" s="11">
        <f>COUNTIF('Lembar Observasi'!K6:K15,"Ya")</f>
        <v>5</v>
      </c>
      <c r="C7" s="11">
        <f>COUNTIF('Lembar Observasi'!K6:K15,"Tidak")</f>
        <v>0</v>
      </c>
      <c r="D7" s="15">
        <f t="shared" si="0"/>
        <v>100</v>
      </c>
      <c r="E7" s="16">
        <f>IFERROR(AVERAGE('Lembar Observasi'!L6:L15),"")</f>
        <v>53</v>
      </c>
      <c r="F7" s="13"/>
    </row>
    <row r="8" spans="1:6" ht="15" customHeight="1" x14ac:dyDescent="0.2">
      <c r="A8" s="14" t="s">
        <v>9</v>
      </c>
      <c r="B8" s="11">
        <f>COUNTIF('Lembar Observasi'!N6:N15,"Ya")</f>
        <v>5</v>
      </c>
      <c r="C8" s="11">
        <f>COUNTIF('Lembar Observasi'!N6:N15,"Tidak")</f>
        <v>0</v>
      </c>
      <c r="D8" s="15">
        <f t="shared" si="0"/>
        <v>100</v>
      </c>
      <c r="E8" s="16">
        <f>IFERROR(AVERAGE('Lembar Observasi'!O6:O15),"")</f>
        <v>206.2</v>
      </c>
      <c r="F8" s="13"/>
    </row>
    <row r="9" spans="1:6" ht="15" customHeight="1" x14ac:dyDescent="0.2">
      <c r="A9" s="14" t="s">
        <v>10</v>
      </c>
      <c r="B9" s="11">
        <f>COUNTIF('Lembar Observasi'!Q6:Q15,"Ya")</f>
        <v>5</v>
      </c>
      <c r="C9" s="11">
        <f>COUNTIF('Lembar Observasi'!Q6:Q15,"Tidak")</f>
        <v>0</v>
      </c>
      <c r="D9" s="15">
        <f t="shared" si="0"/>
        <v>100</v>
      </c>
      <c r="E9" s="16">
        <f>IFERROR(AVERAGE('Lembar Observasi'!R6:R15),"")</f>
        <v>35.6</v>
      </c>
      <c r="F9" s="13"/>
    </row>
    <row r="10" spans="1:6" ht="15" customHeight="1" x14ac:dyDescent="0.2">
      <c r="A10" s="14" t="s">
        <v>11</v>
      </c>
      <c r="B10" s="11">
        <f>COUNTIF('Lembar Observasi'!T6:T15,"Ya")</f>
        <v>5</v>
      </c>
      <c r="C10" s="11">
        <f>COUNTIF('Lembar Observasi'!T6:T15,"Tidak")</f>
        <v>0</v>
      </c>
      <c r="D10" s="15">
        <f t="shared" si="0"/>
        <v>100</v>
      </c>
      <c r="E10" s="16">
        <f>IFERROR(AVERAGE('Lembar Observasi'!U6:U15),"")</f>
        <v>30.2</v>
      </c>
      <c r="F10" s="13"/>
    </row>
    <row r="11" spans="1:6" ht="15" customHeight="1" x14ac:dyDescent="0.2">
      <c r="A11" s="14" t="s">
        <v>12</v>
      </c>
      <c r="B11" s="11">
        <f>COUNTIF('Lembar Observasi'!W6:W15,"Ya")</f>
        <v>5</v>
      </c>
      <c r="C11" s="11">
        <f>COUNTIF('Lembar Observasi'!W6:W15,"Tidak")</f>
        <v>0</v>
      </c>
      <c r="D11" s="15">
        <f t="shared" si="0"/>
        <v>100</v>
      </c>
      <c r="E11" s="16">
        <f>IFERROR(AVERAGE('Lembar Observasi'!X6:X15),"")</f>
        <v>12.4</v>
      </c>
      <c r="F11" s="13"/>
    </row>
    <row r="12" spans="1:6" ht="19.5" customHeight="1" x14ac:dyDescent="0.2">
      <c r="A12" s="1" t="s">
        <v>52</v>
      </c>
      <c r="B12" s="1"/>
      <c r="C12" s="1"/>
      <c r="D12" s="17">
        <f>IFERROR(AVERAGE(D5:D11),"")</f>
        <v>100</v>
      </c>
      <c r="E12" s="18">
        <f>IFERROR(AVERAGE(E5:E11),"")</f>
        <v>64.028571428571425</v>
      </c>
      <c r="F12" s="19"/>
    </row>
  </sheetData>
  <mergeCells count="3">
    <mergeCell ref="A1:F1"/>
    <mergeCell ref="A2:F2"/>
    <mergeCell ref="A12:C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Lembar Observasi</vt:lpstr>
      <vt:lpstr>Deskripsi Tugas</vt:lpstr>
      <vt:lpstr>Rekap &amp; Analisis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Farah Aulia</cp:lastModifiedBy>
  <cp:revision>0</cp:revision>
  <dcterms:created xsi:type="dcterms:W3CDTF">2026-07-04T18:56:59Z</dcterms:created>
  <dcterms:modified xsi:type="dcterms:W3CDTF">2026-07-04T19:03:17Z</dcterms:modified>
  <dc:language>en-US</dc:language>
</cp:coreProperties>
</file>